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KYpro\Диплом\"/>
    </mc:Choice>
  </mc:AlternateContent>
  <bookViews>
    <workbookView xWindow="0" yWindow="0" windowWidth="28800" windowHeight="11700" activeTab="2"/>
  </bookViews>
  <sheets>
    <sheet name="Положительные" sheetId="1" r:id="rId1"/>
    <sheet name="Отрицательные" sheetId="2" r:id="rId2"/>
    <sheet name="Нейтральные" sheetId="3" r:id="rId3"/>
  </sheets>
  <calcPr calcId="162913"/>
</workbook>
</file>

<file path=xl/calcChain.xml><?xml version="1.0" encoding="utf-8"?>
<calcChain xmlns="http://schemas.openxmlformats.org/spreadsheetml/2006/main">
  <c r="B41" i="3" l="1"/>
  <c r="B40" i="3"/>
  <c r="P7" i="3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2" i="3"/>
  <c r="P4" i="2"/>
  <c r="Q4" i="2" s="1"/>
  <c r="O3" i="2"/>
  <c r="P3" i="2" s="1"/>
  <c r="Q3" i="2" s="1"/>
  <c r="O4" i="2"/>
  <c r="O2" i="2"/>
  <c r="P2" i="2" s="1"/>
  <c r="Q2" i="2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P3" i="1"/>
  <c r="P4" i="1"/>
  <c r="P5" i="1"/>
  <c r="P6" i="1"/>
  <c r="P7" i="1"/>
  <c r="P9" i="1"/>
  <c r="P10" i="1"/>
  <c r="P11" i="1"/>
  <c r="P12" i="1"/>
  <c r="P13" i="1"/>
  <c r="P15" i="1"/>
  <c r="P16" i="1"/>
  <c r="P17" i="1"/>
  <c r="P18" i="1"/>
  <c r="P2" i="1"/>
  <c r="O3" i="1"/>
  <c r="O4" i="1"/>
  <c r="O5" i="1"/>
  <c r="O6" i="1"/>
  <c r="O7" i="1"/>
  <c r="O8" i="1"/>
  <c r="P8" i="1" s="1"/>
  <c r="O9" i="1"/>
  <c r="O10" i="1"/>
  <c r="O11" i="1"/>
  <c r="O12" i="1"/>
  <c r="O13" i="1"/>
  <c r="O14" i="1"/>
  <c r="P14" i="1" s="1"/>
  <c r="O15" i="1"/>
  <c r="O16" i="1"/>
  <c r="O17" i="1"/>
  <c r="O18" i="1"/>
  <c r="O2" i="1"/>
  <c r="P6" i="3" l="1"/>
  <c r="P2" i="3"/>
  <c r="P29" i="3"/>
  <c r="P23" i="3"/>
  <c r="P17" i="3"/>
  <c r="P11" i="3"/>
  <c r="P5" i="3"/>
  <c r="P34" i="3"/>
  <c r="P28" i="3"/>
  <c r="P22" i="3"/>
  <c r="P16" i="3"/>
  <c r="P10" i="3"/>
  <c r="P4" i="3"/>
  <c r="P33" i="3"/>
  <c r="P27" i="3"/>
  <c r="P21" i="3"/>
  <c r="P15" i="3"/>
  <c r="P9" i="3"/>
  <c r="P3" i="3"/>
  <c r="P32" i="3"/>
  <c r="P26" i="3"/>
  <c r="P20" i="3"/>
  <c r="P14" i="3"/>
  <c r="P8" i="3"/>
  <c r="P31" i="3"/>
  <c r="P25" i="3"/>
  <c r="P19" i="3"/>
  <c r="P13" i="3"/>
  <c r="P30" i="3"/>
  <c r="P24" i="3"/>
  <c r="P18" i="3"/>
  <c r="P12" i="3"/>
  <c r="B10" i="2"/>
  <c r="B23" i="1"/>
</calcChain>
</file>

<file path=xl/sharedStrings.xml><?xml version="1.0" encoding="utf-8"?>
<sst xmlns="http://schemas.openxmlformats.org/spreadsheetml/2006/main" count="168" uniqueCount="48">
  <si>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</si>
  <si>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</si>
  <si>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</si>
  <si>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</si>
  <si>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</si>
  <si>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</si>
  <si>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</si>
  <si>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</si>
  <si>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</si>
  <si>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</si>
  <si>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</si>
  <si>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</si>
  <si>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</si>
  <si>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</si>
  <si>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</si>
  <si>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positive</t>
  </si>
  <si>
    <t>Санкт-Петербург</t>
  </si>
  <si>
    <t>Москва</t>
  </si>
  <si>
    <t>Владимир</t>
  </si>
  <si>
    <t>Самара</t>
  </si>
  <si>
    <t>negative</t>
  </si>
  <si>
    <t>Волгоград</t>
  </si>
  <si>
    <t>Краснодар</t>
  </si>
  <si>
    <t>Красноярск</t>
  </si>
  <si>
    <t>neutral</t>
  </si>
  <si>
    <t>Нижний Новгород</t>
  </si>
  <si>
    <t>Мурманск</t>
  </si>
  <si>
    <t>Саратов</t>
  </si>
  <si>
    <t>Тольятти</t>
  </si>
  <si>
    <t>Тюмень</t>
  </si>
  <si>
    <t>Сочи</t>
  </si>
  <si>
    <t>Сахалинск</t>
  </si>
  <si>
    <t>Великий Новгород</t>
  </si>
  <si>
    <t>Дмитров</t>
  </si>
  <si>
    <t>Ввод данных</t>
  </si>
  <si>
    <t>Количество клиентов N</t>
  </si>
  <si>
    <t>Общее количество</t>
  </si>
  <si>
    <t>Доля торговой точки</t>
  </si>
  <si>
    <t>Выгода</t>
  </si>
  <si>
    <t>Общаяя выгода</t>
  </si>
  <si>
    <t>Потери</t>
  </si>
  <si>
    <t>Количество MDE</t>
  </si>
  <si>
    <t>Минимальная сигма обоих групп</t>
  </si>
  <si>
    <t>Уровень значимости(α)</t>
  </si>
  <si>
    <t>Мощность(1−β)</t>
  </si>
  <si>
    <t>Z значение(α)</t>
  </si>
  <si>
    <t>Z значение(1−β)</t>
  </si>
  <si>
    <t>Количество клие6нтов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</si>
</sst>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78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0" fontId="3" fillId="2" borderId="1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  <xf numFmtId="44" fontId="3" fillId="2" borderId="1" xfId="0" applyNumberFormat="1" applyFont="1" applyFill="1" applyBorder="1"/>
    <xf numFmtId="0" fontId="1" fillId="0" borderId="4" xfId="0" applyFont="1" applyFill="1" applyBorder="1" applyAlignment="1">
      <alignment horizontal="center" vertical="top"/>
    </xf>
    <xf numFmtId="44" fontId="1" fillId="5" borderId="1" xfId="1" applyFont="1" applyFill="1" applyBorder="1" applyAlignment="1">
      <alignment horizontal="center" vertical="top"/>
    </xf>
    <xf numFmtId="44" fontId="0" fillId="0" borderId="1" xfId="1" applyFont="1" applyBorder="1"/>
    <xf numFmtId="0" fontId="4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44" fontId="3" fillId="2" borderId="1" xfId="1" applyFont="1" applyFill="1" applyBorder="1"/>
    <xf numFmtId="0" fontId="3" fillId="2" borderId="1" xfId="1" applyNumberFormat="1" applyFont="1" applyFill="1" applyBorder="1"/>
    <xf numFmtId="178" fontId="3" fillId="2" borderId="1" xfId="1" applyNumberFormat="1" applyFont="1" applyFill="1" applyBorder="1"/>
    <xf numFmtId="0" fontId="4" fillId="0" borderId="4" xfId="0" applyFont="1" applyFill="1" applyBorder="1" applyAlignment="1">
      <alignment horizontal="center" vertical="top"/>
    </xf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4" fillId="3" borderId="6" xfId="0" applyFont="1" applyFill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0" borderId="9" xfId="0" applyBorder="1"/>
    <xf numFmtId="0" fontId="0" fillId="0" borderId="3" xfId="0" applyBorder="1"/>
    <xf numFmtId="0" fontId="0" fillId="0" borderId="11" xfId="0" applyBorder="1"/>
    <xf numFmtId="0" fontId="4" fillId="4" borderId="12" xfId="0" applyFont="1" applyFill="1" applyBorder="1" applyAlignment="1">
      <alignment horizontal="center" vertical="top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4" fillId="0" borderId="18" xfId="0" applyFont="1" applyFill="1" applyBorder="1" applyAlignment="1">
      <alignment horizontal="center" vertical="top"/>
    </xf>
  </cellXfs>
  <cellStyles count="2">
    <cellStyle name="Денежный" xfId="1" builtinId="4"/>
    <cellStyle name="Обычный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P18" totalsRowShown="0" headerRowDxfId="36">
  <autoFilter ref="A1:P18"/>
  <tableColumns count="16">
    <tableColumn id="1" name="city"/>
    <tableColumn id="2" name="id_trading_point"/>
    <tableColumn id="3" name="count_test"/>
    <tableColumn id="4" name="count_control"/>
    <tableColumn id="5" name="count_all"/>
    <tableColumn id="6" name="percent_count"/>
    <tableColumn id="7" name="avg_payment_test"/>
    <tableColumn id="8" name="avg_payment_control"/>
    <tableColumn id="9" name="diff"/>
    <tableColumn id="10" name="sigma_test"/>
    <tableColumn id="11" name="sigma_control"/>
    <tableColumn id="12" name="ttest"/>
    <tableColumn id="13" name="pvalue_ttest"/>
    <tableColumn id="14" name="label"/>
    <tableColumn id="15" name="Общее количество">
      <calculatedColumnFormula>SUM($E$2:$E$18)</calculatedColumnFormula>
    </tableColumn>
    <tableColumn id="16" name="Доля торговой точки">
      <calculatedColumnFormula>C2/O2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1:P4" totalsRowShown="0" headerRowDxfId="18" tableBorderDxfId="35">
  <autoFilter ref="A1:P4"/>
  <tableColumns count="16">
    <tableColumn id="1" name="city" dataDxfId="34"/>
    <tableColumn id="2" name="id_trading_point" dataDxfId="33"/>
    <tableColumn id="3" name="count_test" dataDxfId="32"/>
    <tableColumn id="4" name="count_control" dataDxfId="31"/>
    <tableColumn id="5" name="count_all" dataDxfId="30"/>
    <tableColumn id="6" name="percent_count" dataDxfId="29"/>
    <tableColumn id="7" name="avg_payment_test" dataDxfId="28"/>
    <tableColumn id="8" name="avg_payment_control" dataDxfId="27"/>
    <tableColumn id="9" name="diff" dataDxfId="26"/>
    <tableColumn id="10" name="sigma_test" dataDxfId="25"/>
    <tableColumn id="11" name="sigma_control" dataDxfId="24"/>
    <tableColumn id="12" name="ttest" dataDxfId="23"/>
    <tableColumn id="13" name="pvalue_ttest" dataDxfId="22"/>
    <tableColumn id="14" name="label" dataDxfId="21"/>
    <tableColumn id="15" name="Общее количество" dataDxfId="20">
      <calculatedColumnFormula>SUM($E$2:$E$4)</calculatedColumnFormula>
    </tableColumn>
    <tableColumn id="16" name="Доля торговой точки" dataDxfId="19">
      <calculatedColumnFormula>C2/O2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Таблица6" displayName="Таблица6" ref="A1:O34" totalsRowShown="0" headerRowDxfId="0" headerRowBorderDxfId="16" tableBorderDxfId="17">
  <autoFilter ref="A1:O34"/>
  <tableColumns count="15">
    <tableColumn id="1" name="city" dataDxfId="15"/>
    <tableColumn id="2" name="id_trading_point" dataDxfId="14"/>
    <tableColumn id="3" name="count_test" dataDxfId="13"/>
    <tableColumn id="4" name="count_control" dataDxfId="12"/>
    <tableColumn id="5" name="count_all" dataDxfId="11"/>
    <tableColumn id="6" name="percent_count" dataDxfId="10"/>
    <tableColumn id="7" name="avg_payment_test" dataDxfId="9"/>
    <tableColumn id="8" name="avg_payment_control" dataDxfId="8"/>
    <tableColumn id="9" name="diff" dataDxfId="7"/>
    <tableColumn id="10" name="sigma_test" dataDxfId="6"/>
    <tableColumn id="11" name="sigma_control" dataDxfId="5"/>
    <tableColumn id="12" name="ttest" dataDxfId="4"/>
    <tableColumn id="13" name="pvalue_ttest" dataDxfId="3"/>
    <tableColumn id="14" name="label" dataDxfId="2"/>
    <tableColumn id="15" name="Минимальная сигма обоих групп" dataDxfId="1">
      <calculatedColumnFormula>MIN(J2,K2)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A21" sqref="A21:B22"/>
    </sheetView>
  </sheetViews>
  <sheetFormatPr defaultRowHeight="15" x14ac:dyDescent="0.25"/>
  <cols>
    <col min="1" max="1" width="36.28515625" bestFit="1" customWidth="1"/>
    <col min="2" max="2" width="21.28515625" bestFit="1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9" max="9" width="12" bestFit="1" customWidth="1"/>
    <col min="10" max="10" width="12.7109375" customWidth="1"/>
    <col min="11" max="11" width="15.5703125" customWidth="1"/>
    <col min="12" max="12" width="12.7109375" bestFit="1" customWidth="1"/>
    <col min="13" max="13" width="14.28515625" customWidth="1"/>
    <col min="15" max="15" width="20.5703125" customWidth="1"/>
    <col min="16" max="16" width="22.140625" customWidth="1"/>
    <col min="17" max="17" width="13.140625" style="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36</v>
      </c>
      <c r="P1" s="7" t="s">
        <v>37</v>
      </c>
      <c r="Q1" s="8" t="s">
        <v>38</v>
      </c>
    </row>
    <row r="2" spans="1:17" x14ac:dyDescent="0.25">
      <c r="A2" t="s">
        <v>14</v>
      </c>
      <c r="B2">
        <v>991</v>
      </c>
      <c r="C2">
        <v>270</v>
      </c>
      <c r="D2">
        <v>294</v>
      </c>
      <c r="E2">
        <v>564</v>
      </c>
      <c r="F2">
        <v>1.230339652276347</v>
      </c>
      <c r="G2">
        <v>3249.281481481481</v>
      </c>
      <c r="H2">
        <v>2452.9863945578231</v>
      </c>
      <c r="I2">
        <v>796.29508692365835</v>
      </c>
      <c r="J2">
        <v>4719.5926012697964</v>
      </c>
      <c r="K2">
        <v>3633.9358583139442</v>
      </c>
      <c r="L2">
        <v>-2.2308161946965539</v>
      </c>
      <c r="M2">
        <v>2.6132233544756141E-2</v>
      </c>
      <c r="N2" t="s">
        <v>15</v>
      </c>
      <c r="O2">
        <f>SUM($E$2:$E$18)</f>
        <v>16189</v>
      </c>
      <c r="P2">
        <f>C2/O2</f>
        <v>1.6677991228612021E-2</v>
      </c>
      <c r="Q2" s="9">
        <f>I2*$B$22*P2</f>
        <v>265.61204950199243</v>
      </c>
    </row>
    <row r="3" spans="1:17" x14ac:dyDescent="0.25">
      <c r="A3" t="s">
        <v>16</v>
      </c>
      <c r="B3">
        <v>453</v>
      </c>
      <c r="C3">
        <v>1066</v>
      </c>
      <c r="D3">
        <v>1049</v>
      </c>
      <c r="E3">
        <v>2115</v>
      </c>
      <c r="F3">
        <v>4.6137736960362998</v>
      </c>
      <c r="G3">
        <v>2501.9662288930581</v>
      </c>
      <c r="H3">
        <v>1889.9237368922779</v>
      </c>
      <c r="I3">
        <v>612.0424920007797</v>
      </c>
      <c r="J3">
        <v>2993.4425401386729</v>
      </c>
      <c r="K3">
        <v>2648.6593032825899</v>
      </c>
      <c r="L3">
        <v>-4.9817858368208183</v>
      </c>
      <c r="M3">
        <v>6.8173980046560229E-7</v>
      </c>
      <c r="N3" t="s">
        <v>15</v>
      </c>
      <c r="O3">
        <f t="shared" ref="O3:O18" si="0">SUM($E$2:$E$18)</f>
        <v>16189</v>
      </c>
      <c r="P3">
        <f t="shared" ref="P3:P18" si="1">C3/O3</f>
        <v>6.5847180184075607E-2</v>
      </c>
      <c r="Q3" s="9">
        <f t="shared" ref="Q3:Q18" si="2">I3*$B$22*P3</f>
        <v>806.02544502171997</v>
      </c>
    </row>
    <row r="4" spans="1:17" x14ac:dyDescent="0.25">
      <c r="A4" t="s">
        <v>16</v>
      </c>
      <c r="B4">
        <v>801</v>
      </c>
      <c r="C4">
        <v>225</v>
      </c>
      <c r="D4">
        <v>212</v>
      </c>
      <c r="E4">
        <v>437</v>
      </c>
      <c r="F4">
        <v>0.95329508518575079</v>
      </c>
      <c r="G4">
        <v>2925.1422222222218</v>
      </c>
      <c r="H4">
        <v>2352.283018867925</v>
      </c>
      <c r="I4">
        <v>572.85920335429773</v>
      </c>
      <c r="J4">
        <v>2774.2920633734352</v>
      </c>
      <c r="K4">
        <v>2928.2858378165042</v>
      </c>
      <c r="L4">
        <v>-2.0966140626762448</v>
      </c>
      <c r="M4">
        <v>3.6612171922677982E-2</v>
      </c>
      <c r="N4" t="s">
        <v>15</v>
      </c>
      <c r="O4">
        <f t="shared" si="0"/>
        <v>16189</v>
      </c>
      <c r="P4">
        <f t="shared" si="1"/>
        <v>1.389832602384335E-2</v>
      </c>
      <c r="Q4" s="9">
        <f t="shared" si="2"/>
        <v>159.2356794795441</v>
      </c>
    </row>
    <row r="5" spans="1:17" x14ac:dyDescent="0.25">
      <c r="A5" t="s">
        <v>16</v>
      </c>
      <c r="B5">
        <v>573</v>
      </c>
      <c r="C5">
        <v>177</v>
      </c>
      <c r="D5">
        <v>160</v>
      </c>
      <c r="E5">
        <v>337</v>
      </c>
      <c r="F5">
        <v>0.7351497567679588</v>
      </c>
      <c r="G5">
        <v>2929.0451977401131</v>
      </c>
      <c r="H5">
        <v>1641.2125000000001</v>
      </c>
      <c r="I5">
        <v>1287.832697740113</v>
      </c>
      <c r="J5">
        <v>3201.0981368955968</v>
      </c>
      <c r="K5">
        <v>2619.0447809502271</v>
      </c>
      <c r="L5">
        <v>-4.057015388980501</v>
      </c>
      <c r="M5">
        <v>6.2017129445523744E-5</v>
      </c>
      <c r="N5" t="s">
        <v>15</v>
      </c>
      <c r="O5">
        <f t="shared" si="0"/>
        <v>16189</v>
      </c>
      <c r="P5">
        <f t="shared" si="1"/>
        <v>1.0933349805423436E-2</v>
      </c>
      <c r="Q5" s="9">
        <f t="shared" si="2"/>
        <v>281.60650750509609</v>
      </c>
    </row>
    <row r="6" spans="1:17" x14ac:dyDescent="0.25">
      <c r="A6" t="s">
        <v>16</v>
      </c>
      <c r="B6">
        <v>900</v>
      </c>
      <c r="C6">
        <v>335</v>
      </c>
      <c r="D6">
        <v>341</v>
      </c>
      <c r="E6">
        <v>676</v>
      </c>
      <c r="F6">
        <v>1.474662420104274</v>
      </c>
      <c r="G6">
        <v>2450.991044776119</v>
      </c>
      <c r="H6">
        <v>1689.7917888563049</v>
      </c>
      <c r="I6">
        <v>761.1992559198145</v>
      </c>
      <c r="J6">
        <v>2865.6073558468579</v>
      </c>
      <c r="K6">
        <v>2492.4726113410602</v>
      </c>
      <c r="L6">
        <v>-3.6823738401673038</v>
      </c>
      <c r="M6">
        <v>2.5003858574371542E-4</v>
      </c>
      <c r="N6" t="s">
        <v>15</v>
      </c>
      <c r="O6">
        <f t="shared" si="0"/>
        <v>16189</v>
      </c>
      <c r="P6">
        <f t="shared" si="1"/>
        <v>2.0693063191055655E-2</v>
      </c>
      <c r="Q6" s="9">
        <f t="shared" si="2"/>
        <v>315.03088607466532</v>
      </c>
    </row>
    <row r="7" spans="1:17" x14ac:dyDescent="0.25">
      <c r="A7" t="s">
        <v>16</v>
      </c>
      <c r="B7">
        <v>117</v>
      </c>
      <c r="C7">
        <v>625</v>
      </c>
      <c r="D7">
        <v>587</v>
      </c>
      <c r="E7">
        <v>1212</v>
      </c>
      <c r="F7">
        <v>2.6439213804236381</v>
      </c>
      <c r="G7">
        <v>2582.2975999999999</v>
      </c>
      <c r="H7">
        <v>2050.6916524701869</v>
      </c>
      <c r="I7">
        <v>531.60594752981251</v>
      </c>
      <c r="J7">
        <v>2835.004503186402</v>
      </c>
      <c r="K7">
        <v>2595.7377919626342</v>
      </c>
      <c r="L7">
        <v>-3.4075863123634051</v>
      </c>
      <c r="M7">
        <v>6.7695551434476277E-4</v>
      </c>
      <c r="N7" t="s">
        <v>15</v>
      </c>
      <c r="O7">
        <f t="shared" si="0"/>
        <v>16189</v>
      </c>
      <c r="P7">
        <f t="shared" si="1"/>
        <v>3.8606461177342642E-2</v>
      </c>
      <c r="Q7" s="9">
        <f t="shared" si="2"/>
        <v>410.46848749908315</v>
      </c>
    </row>
    <row r="8" spans="1:17" x14ac:dyDescent="0.25">
      <c r="A8" t="s">
        <v>16</v>
      </c>
      <c r="B8">
        <v>213</v>
      </c>
      <c r="C8">
        <v>232</v>
      </c>
      <c r="D8">
        <v>255</v>
      </c>
      <c r="E8">
        <v>487</v>
      </c>
      <c r="F8">
        <v>1.0623677493946471</v>
      </c>
      <c r="G8">
        <v>2977.629310344827</v>
      </c>
      <c r="H8">
        <v>2277.6117647058818</v>
      </c>
      <c r="I8">
        <v>700.01754563894519</v>
      </c>
      <c r="J8">
        <v>2905.494362359007</v>
      </c>
      <c r="K8">
        <v>2710.043413201317</v>
      </c>
      <c r="L8">
        <v>-2.741715697935414</v>
      </c>
      <c r="M8">
        <v>6.3438837438314546E-3</v>
      </c>
      <c r="N8" t="s">
        <v>15</v>
      </c>
      <c r="O8">
        <f t="shared" si="0"/>
        <v>16189</v>
      </c>
      <c r="P8">
        <f t="shared" si="1"/>
        <v>1.4330718389029587E-2</v>
      </c>
      <c r="Q8" s="9">
        <f t="shared" si="2"/>
        <v>200.6350862786278</v>
      </c>
    </row>
    <row r="9" spans="1:17" x14ac:dyDescent="0.25">
      <c r="A9" t="s">
        <v>16</v>
      </c>
      <c r="B9">
        <v>891</v>
      </c>
      <c r="C9">
        <v>159</v>
      </c>
      <c r="D9">
        <v>167</v>
      </c>
      <c r="E9">
        <v>326</v>
      </c>
      <c r="F9">
        <v>0.71115377064200169</v>
      </c>
      <c r="G9">
        <v>2618.949685534591</v>
      </c>
      <c r="H9">
        <v>1980.65868263473</v>
      </c>
      <c r="I9">
        <v>638.29100289986059</v>
      </c>
      <c r="J9">
        <v>2899.78246412116</v>
      </c>
      <c r="K9">
        <v>2489.571942139818</v>
      </c>
      <c r="L9">
        <v>-2.1276516840016768</v>
      </c>
      <c r="M9">
        <v>3.4150993769134087E-2</v>
      </c>
      <c r="N9" t="s">
        <v>15</v>
      </c>
      <c r="O9">
        <f t="shared" si="0"/>
        <v>16189</v>
      </c>
      <c r="P9">
        <f t="shared" si="1"/>
        <v>9.8214837235159683E-3</v>
      </c>
      <c r="Q9" s="9">
        <f t="shared" si="2"/>
        <v>125.37929391695329</v>
      </c>
    </row>
    <row r="10" spans="1:17" x14ac:dyDescent="0.25">
      <c r="A10" t="s">
        <v>17</v>
      </c>
      <c r="B10">
        <v>2652</v>
      </c>
      <c r="C10">
        <v>2273</v>
      </c>
      <c r="D10">
        <v>2370</v>
      </c>
      <c r="E10">
        <v>4643</v>
      </c>
      <c r="F10">
        <v>10.128487598438079</v>
      </c>
      <c r="G10">
        <v>2508.8895732512101</v>
      </c>
      <c r="H10">
        <v>1972.847679324894</v>
      </c>
      <c r="I10">
        <v>536.0418939263152</v>
      </c>
      <c r="J10">
        <v>2846.6364983182448</v>
      </c>
      <c r="K10">
        <v>2565.8782422552181</v>
      </c>
      <c r="L10">
        <v>-6.7305695648793114</v>
      </c>
      <c r="M10">
        <v>1.899833524377943E-11</v>
      </c>
      <c r="N10" t="s">
        <v>15</v>
      </c>
      <c r="O10">
        <f t="shared" si="0"/>
        <v>16189</v>
      </c>
      <c r="P10">
        <f t="shared" si="1"/>
        <v>0.14040397800975971</v>
      </c>
      <c r="Q10" s="9">
        <f t="shared" si="2"/>
        <v>1505.2482857428063</v>
      </c>
    </row>
    <row r="11" spans="1:17" x14ac:dyDescent="0.25">
      <c r="A11" t="s">
        <v>17</v>
      </c>
      <c r="B11">
        <v>1287</v>
      </c>
      <c r="C11">
        <v>370</v>
      </c>
      <c r="D11">
        <v>357</v>
      </c>
      <c r="E11">
        <v>727</v>
      </c>
      <c r="F11">
        <v>1.585916537597347</v>
      </c>
      <c r="G11">
        <v>2143.4891891891889</v>
      </c>
      <c r="H11">
        <v>1394.6554621848741</v>
      </c>
      <c r="I11">
        <v>748.83372700431551</v>
      </c>
      <c r="J11">
        <v>2441.221897644979</v>
      </c>
      <c r="K11">
        <v>2338.4617787149841</v>
      </c>
      <c r="L11">
        <v>-4.224259637699701</v>
      </c>
      <c r="M11">
        <v>2.702809614012142E-5</v>
      </c>
      <c r="N11" t="s">
        <v>15</v>
      </c>
      <c r="O11">
        <f t="shared" si="0"/>
        <v>16189</v>
      </c>
      <c r="P11">
        <f t="shared" si="1"/>
        <v>2.2855025016986844E-2</v>
      </c>
      <c r="Q11" s="9">
        <f t="shared" si="2"/>
        <v>342.29227128494256</v>
      </c>
    </row>
    <row r="12" spans="1:17" x14ac:dyDescent="0.25">
      <c r="A12" t="s">
        <v>17</v>
      </c>
      <c r="B12">
        <v>1654</v>
      </c>
      <c r="C12">
        <v>799</v>
      </c>
      <c r="D12">
        <v>775</v>
      </c>
      <c r="E12">
        <v>1574</v>
      </c>
      <c r="F12">
        <v>3.433607469296045</v>
      </c>
      <c r="G12">
        <v>3176.4330413016269</v>
      </c>
      <c r="H12">
        <v>2507.8864516129029</v>
      </c>
      <c r="I12">
        <v>668.54658968872354</v>
      </c>
      <c r="J12">
        <v>3208.0517628292828</v>
      </c>
      <c r="K12">
        <v>2950.5128884516971</v>
      </c>
      <c r="L12">
        <v>-4.3052785400311322</v>
      </c>
      <c r="M12">
        <v>1.7711168580202902E-5</v>
      </c>
      <c r="N12" t="s">
        <v>15</v>
      </c>
      <c r="O12">
        <f t="shared" si="0"/>
        <v>16189</v>
      </c>
      <c r="P12">
        <f t="shared" si="1"/>
        <v>4.9354499969114833E-2</v>
      </c>
      <c r="Q12" s="9">
        <f t="shared" si="2"/>
        <v>659.91565280287864</v>
      </c>
    </row>
    <row r="13" spans="1:17" x14ac:dyDescent="0.25">
      <c r="A13" t="s">
        <v>17</v>
      </c>
      <c r="B13">
        <v>1002</v>
      </c>
      <c r="C13">
        <v>138</v>
      </c>
      <c r="D13">
        <v>188</v>
      </c>
      <c r="E13">
        <v>326</v>
      </c>
      <c r="F13">
        <v>0.71115377064200169</v>
      </c>
      <c r="G13">
        <v>4144.855072463768</v>
      </c>
      <c r="H13">
        <v>1844.7872340425531</v>
      </c>
      <c r="I13">
        <v>2300.0678384212151</v>
      </c>
      <c r="J13">
        <v>4069.769784107084</v>
      </c>
      <c r="K13">
        <v>2436.536120119913</v>
      </c>
      <c r="L13">
        <v>-5.9073242570544036</v>
      </c>
      <c r="M13">
        <v>1.4023637069177931E-8</v>
      </c>
      <c r="N13" t="s">
        <v>15</v>
      </c>
      <c r="O13">
        <f t="shared" si="0"/>
        <v>16189</v>
      </c>
      <c r="P13">
        <f t="shared" si="1"/>
        <v>8.5243066279572545E-3</v>
      </c>
      <c r="Q13" s="9">
        <f t="shared" si="2"/>
        <v>392.12967039610561</v>
      </c>
    </row>
    <row r="14" spans="1:17" x14ac:dyDescent="0.25">
      <c r="A14" t="s">
        <v>18</v>
      </c>
      <c r="B14">
        <v>11</v>
      </c>
      <c r="C14">
        <v>509</v>
      </c>
      <c r="D14">
        <v>608</v>
      </c>
      <c r="E14">
        <v>1117</v>
      </c>
      <c r="F14">
        <v>2.436683318426736</v>
      </c>
      <c r="G14">
        <v>2547.2200392927311</v>
      </c>
      <c r="H14">
        <v>2108.6101973684208</v>
      </c>
      <c r="I14">
        <v>438.60984192430942</v>
      </c>
      <c r="J14">
        <v>3023.7021636269142</v>
      </c>
      <c r="K14">
        <v>2663.038391974123</v>
      </c>
      <c r="L14">
        <v>-2.5482347898198001</v>
      </c>
      <c r="M14">
        <v>1.0972397245538289E-2</v>
      </c>
      <c r="N14" t="s">
        <v>15</v>
      </c>
      <c r="O14">
        <f t="shared" si="0"/>
        <v>16189</v>
      </c>
      <c r="P14">
        <f t="shared" si="1"/>
        <v>3.1441101982827846E-2</v>
      </c>
      <c r="Q14" s="9">
        <f t="shared" si="2"/>
        <v>275.80753541228427</v>
      </c>
    </row>
    <row r="15" spans="1:17" x14ac:dyDescent="0.25">
      <c r="A15" t="s">
        <v>19</v>
      </c>
      <c r="B15">
        <v>33</v>
      </c>
      <c r="C15">
        <v>232</v>
      </c>
      <c r="D15">
        <v>258</v>
      </c>
      <c r="E15">
        <v>490</v>
      </c>
      <c r="F15">
        <v>1.0689121092471801</v>
      </c>
      <c r="G15">
        <v>4598.2198275862074</v>
      </c>
      <c r="H15">
        <v>2311.3875968992252</v>
      </c>
      <c r="I15">
        <v>2286.8322306869818</v>
      </c>
      <c r="J15">
        <v>2931.2349256860789</v>
      </c>
      <c r="K15">
        <v>2371.771295626133</v>
      </c>
      <c r="L15">
        <v>-9.4276461792725943</v>
      </c>
      <c r="M15">
        <v>2.33037312953587E-19</v>
      </c>
      <c r="N15" t="s">
        <v>15</v>
      </c>
      <c r="O15">
        <f t="shared" si="0"/>
        <v>16189</v>
      </c>
      <c r="P15">
        <f t="shared" si="1"/>
        <v>1.4330718389029587E-2</v>
      </c>
      <c r="Q15" s="9">
        <f t="shared" si="2"/>
        <v>655.43897401862955</v>
      </c>
    </row>
    <row r="16" spans="1:17" x14ac:dyDescent="0.25">
      <c r="A16" t="s">
        <v>19</v>
      </c>
      <c r="B16">
        <v>34</v>
      </c>
      <c r="C16">
        <v>225</v>
      </c>
      <c r="D16">
        <v>253</v>
      </c>
      <c r="E16">
        <v>478</v>
      </c>
      <c r="F16">
        <v>1.042734669837045</v>
      </c>
      <c r="G16">
        <v>3104.5066666666671</v>
      </c>
      <c r="H16">
        <v>1752.608695652174</v>
      </c>
      <c r="I16">
        <v>1351.8979710144929</v>
      </c>
      <c r="J16">
        <v>2956.8269145922532</v>
      </c>
      <c r="K16">
        <v>2529.7007981220449</v>
      </c>
      <c r="L16">
        <v>-5.3375522525397967</v>
      </c>
      <c r="M16">
        <v>1.5066305202040019E-7</v>
      </c>
      <c r="N16" t="s">
        <v>15</v>
      </c>
      <c r="O16">
        <f t="shared" si="0"/>
        <v>16189</v>
      </c>
      <c r="P16">
        <f t="shared" si="1"/>
        <v>1.389832602384335E-2</v>
      </c>
      <c r="Q16" s="9">
        <f t="shared" si="2"/>
        <v>375.78237504263501</v>
      </c>
    </row>
    <row r="17" spans="1:17" x14ac:dyDescent="0.25">
      <c r="A17" t="s">
        <v>19</v>
      </c>
      <c r="B17">
        <v>35</v>
      </c>
      <c r="C17">
        <v>214</v>
      </c>
      <c r="D17">
        <v>194</v>
      </c>
      <c r="E17">
        <v>408</v>
      </c>
      <c r="F17">
        <v>0.89003293994459109</v>
      </c>
      <c r="G17">
        <v>2762.2242990654199</v>
      </c>
      <c r="H17">
        <v>1508.8350515463919</v>
      </c>
      <c r="I17">
        <v>1253.3892475190289</v>
      </c>
      <c r="J17">
        <v>2977.0835472163549</v>
      </c>
      <c r="K17">
        <v>2184.8080940632271</v>
      </c>
      <c r="L17">
        <v>-4.8780314928118829</v>
      </c>
      <c r="M17">
        <v>1.56434351857128E-6</v>
      </c>
      <c r="N17" t="s">
        <v>15</v>
      </c>
      <c r="O17">
        <f t="shared" si="0"/>
        <v>16189</v>
      </c>
      <c r="P17">
        <f t="shared" si="1"/>
        <v>1.3218852307122121E-2</v>
      </c>
      <c r="Q17" s="9">
        <f t="shared" si="2"/>
        <v>331.36734692577949</v>
      </c>
    </row>
    <row r="18" spans="1:17" x14ac:dyDescent="0.25">
      <c r="A18" t="s">
        <v>19</v>
      </c>
      <c r="B18">
        <v>36</v>
      </c>
      <c r="C18">
        <v>131</v>
      </c>
      <c r="D18">
        <v>141</v>
      </c>
      <c r="E18">
        <v>272</v>
      </c>
      <c r="F18">
        <v>0.59335529329639403</v>
      </c>
      <c r="G18">
        <v>1987.3282442748091</v>
      </c>
      <c r="H18">
        <v>860.41843971631204</v>
      </c>
      <c r="I18">
        <v>1126.9098045584969</v>
      </c>
      <c r="J18">
        <v>2718.5026632115769</v>
      </c>
      <c r="K18">
        <v>1840.8266394516061</v>
      </c>
      <c r="L18">
        <v>-3.9731408322184598</v>
      </c>
      <c r="M18">
        <v>9.5383697993993677E-5</v>
      </c>
      <c r="N18" t="s">
        <v>15</v>
      </c>
      <c r="O18">
        <f t="shared" si="0"/>
        <v>16189</v>
      </c>
      <c r="P18">
        <f t="shared" si="1"/>
        <v>8.0919142627710171E-3</v>
      </c>
      <c r="Q18" s="9">
        <f t="shared" si="2"/>
        <v>182.377150407268</v>
      </c>
    </row>
    <row r="21" spans="1:17" ht="23.25" x14ac:dyDescent="0.35">
      <c r="A21" s="4" t="s">
        <v>34</v>
      </c>
    </row>
    <row r="22" spans="1:17" ht="23.25" x14ac:dyDescent="0.35">
      <c r="A22" s="5" t="s">
        <v>35</v>
      </c>
      <c r="B22" s="3">
        <v>20</v>
      </c>
    </row>
    <row r="23" spans="1:17" ht="23.25" x14ac:dyDescent="0.35">
      <c r="A23" s="5" t="s">
        <v>39</v>
      </c>
      <c r="B23" s="6">
        <f>SUM(Q2:Q18)</f>
        <v>7284.3526973110111</v>
      </c>
    </row>
  </sheetData>
  <conditionalFormatting sqref="Q1:Q1048576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FFF00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opLeftCell="B1" workbookViewId="0">
      <selection activeCell="P29" sqref="P29"/>
    </sheetView>
  </sheetViews>
  <sheetFormatPr defaultRowHeight="15" x14ac:dyDescent="0.25"/>
  <cols>
    <col min="1" max="1" width="36.28515625" bestFit="1" customWidth="1"/>
    <col min="2" max="2" width="21.28515625" bestFit="1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10" max="10" width="12.7109375" customWidth="1"/>
    <col min="11" max="11" width="15.5703125" customWidth="1"/>
    <col min="13" max="13" width="14.28515625" customWidth="1"/>
    <col min="15" max="15" width="20.5703125" customWidth="1"/>
    <col min="16" max="16" width="22.140625" customWidth="1"/>
  </cols>
  <sheetData>
    <row r="1" spans="1:17" ht="15.75" thickBot="1" x14ac:dyDescent="0.3">
      <c r="A1" s="2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0" t="s">
        <v>36</v>
      </c>
      <c r="P1" s="16" t="s">
        <v>37</v>
      </c>
      <c r="Q1" s="20" t="s">
        <v>40</v>
      </c>
    </row>
    <row r="2" spans="1:17" x14ac:dyDescent="0.25">
      <c r="A2" s="22" t="s">
        <v>17</v>
      </c>
      <c r="B2" s="12">
        <v>9931</v>
      </c>
      <c r="C2" s="12">
        <v>153</v>
      </c>
      <c r="D2" s="12">
        <v>137</v>
      </c>
      <c r="E2" s="12">
        <v>290</v>
      </c>
      <c r="F2" s="12">
        <v>0.63262145241159662</v>
      </c>
      <c r="G2" s="12">
        <v>1415.7843137254899</v>
      </c>
      <c r="H2" s="12">
        <v>1968.693430656934</v>
      </c>
      <c r="I2" s="12">
        <v>-552.90911693144403</v>
      </c>
      <c r="J2" s="12">
        <v>2038.1642473623181</v>
      </c>
      <c r="K2" s="12">
        <v>2403.3978568404682</v>
      </c>
      <c r="L2" s="12">
        <v>2.10011597194835</v>
      </c>
      <c r="M2" s="12">
        <v>3.6653069248586731E-2</v>
      </c>
      <c r="N2" s="12" t="s">
        <v>20</v>
      </c>
      <c r="O2" s="12">
        <f>SUM($E$2:$E$4)</f>
        <v>3304</v>
      </c>
      <c r="P2" s="12">
        <f>C2/O2</f>
        <v>4.6307506053268763E-2</v>
      </c>
      <c r="Q2" s="18">
        <f>I2*$B$9*P2</f>
        <v>-51207.68455842066</v>
      </c>
    </row>
    <row r="3" spans="1:17" x14ac:dyDescent="0.25">
      <c r="A3" s="22" t="s">
        <v>21</v>
      </c>
      <c r="B3" s="12">
        <v>66</v>
      </c>
      <c r="C3" s="12">
        <v>657</v>
      </c>
      <c r="D3" s="12">
        <v>703</v>
      </c>
      <c r="E3" s="12">
        <v>1360</v>
      </c>
      <c r="F3" s="12">
        <v>2.9667764664819698</v>
      </c>
      <c r="G3" s="12">
        <v>2288.8706240487058</v>
      </c>
      <c r="H3" s="12">
        <v>2601.7610241820771</v>
      </c>
      <c r="I3" s="12">
        <v>-312.89040013337029</v>
      </c>
      <c r="J3" s="12">
        <v>2682.5676104733539</v>
      </c>
      <c r="K3" s="12">
        <v>2830.193773341512</v>
      </c>
      <c r="L3" s="12">
        <v>2.093060153710971</v>
      </c>
      <c r="M3" s="12">
        <v>3.6528981767956922E-2</v>
      </c>
      <c r="N3" s="12" t="s">
        <v>20</v>
      </c>
      <c r="O3" s="12">
        <f t="shared" ref="O3:O4" si="0">SUM($E$2:$E$4)</f>
        <v>3304</v>
      </c>
      <c r="P3" s="12">
        <f t="shared" ref="P3:P4" si="1">C3/O3</f>
        <v>0.19884987893462469</v>
      </c>
      <c r="Q3" s="12">
        <f t="shared" ref="Q3:Q4" si="2">I3*$B$9*P3</f>
        <v>-124436.43637265393</v>
      </c>
    </row>
    <row r="4" spans="1:17" x14ac:dyDescent="0.25">
      <c r="A4" s="23" t="s">
        <v>22</v>
      </c>
      <c r="B4" s="24">
        <v>1101</v>
      </c>
      <c r="C4" s="24">
        <v>785</v>
      </c>
      <c r="D4" s="24">
        <v>869</v>
      </c>
      <c r="E4" s="24">
        <v>1654</v>
      </c>
      <c r="F4" s="24">
        <v>3.608123732030279</v>
      </c>
      <c r="G4" s="24">
        <v>2176.0038216560511</v>
      </c>
      <c r="H4" s="24">
        <v>2523.5788262370538</v>
      </c>
      <c r="I4" s="24">
        <v>-347.57500458100321</v>
      </c>
      <c r="J4" s="24">
        <v>2722.6244937401721</v>
      </c>
      <c r="K4" s="24">
        <v>2960.3523376384169</v>
      </c>
      <c r="L4" s="24">
        <v>2.4872700979499531</v>
      </c>
      <c r="M4" s="24">
        <v>1.297082192104358E-2</v>
      </c>
      <c r="N4" s="24" t="s">
        <v>20</v>
      </c>
      <c r="O4" s="24">
        <f t="shared" si="0"/>
        <v>3304</v>
      </c>
      <c r="P4" s="24">
        <f t="shared" si="1"/>
        <v>0.23759079903147701</v>
      </c>
      <c r="Q4" s="12">
        <f t="shared" si="2"/>
        <v>-165161.24612353966</v>
      </c>
    </row>
    <row r="8" spans="1:17" ht="23.25" x14ac:dyDescent="0.35">
      <c r="A8" s="4" t="s">
        <v>34</v>
      </c>
    </row>
    <row r="9" spans="1:17" ht="23.25" x14ac:dyDescent="0.35">
      <c r="A9" s="5" t="s">
        <v>35</v>
      </c>
      <c r="B9" s="3">
        <v>2000</v>
      </c>
    </row>
    <row r="10" spans="1:17" ht="23.25" x14ac:dyDescent="0.35">
      <c r="A10" s="5" t="s">
        <v>39</v>
      </c>
      <c r="B10" s="6">
        <f>SUM(Q2:Q4)</f>
        <v>-340805.36705461424</v>
      </c>
    </row>
  </sheetData>
  <conditionalFormatting sqref="Q1:Q4">
    <cfRule type="colorScale" priority="4">
      <colorScale>
        <cfvo type="min"/>
        <cfvo type="max"/>
        <color rgb="FFFCFCFF"/>
        <color rgb="FF63BE7B"/>
      </colorScale>
    </cfRule>
  </conditionalFormatting>
  <conditionalFormatting sqref="Q2:Q4">
    <cfRule type="colorScale" priority="1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B1" workbookViewId="0">
      <selection activeCell="B38" sqref="B38"/>
    </sheetView>
  </sheetViews>
  <sheetFormatPr defaultRowHeight="15" x14ac:dyDescent="0.25"/>
  <cols>
    <col min="1" max="1" width="36.28515625" bestFit="1" customWidth="1"/>
    <col min="2" max="2" width="18.85546875" bestFit="1" customWidth="1"/>
    <col min="3" max="3" width="12.5703125" customWidth="1"/>
    <col min="4" max="4" width="15.42578125" customWidth="1"/>
    <col min="5" max="5" width="11.28515625" customWidth="1"/>
    <col min="6" max="6" width="16" customWidth="1"/>
    <col min="7" max="7" width="19.42578125" customWidth="1"/>
    <col min="8" max="8" width="22.28515625" customWidth="1"/>
    <col min="9" max="9" width="12.7109375" bestFit="1" customWidth="1"/>
    <col min="10" max="10" width="12.7109375" customWidth="1"/>
    <col min="11" max="11" width="15.5703125" customWidth="1"/>
    <col min="13" max="13" width="14.28515625" customWidth="1"/>
    <col min="15" max="15" width="33.5703125" customWidth="1"/>
    <col min="16" max="16" width="23.85546875" bestFit="1" customWidth="1"/>
  </cols>
  <sheetData>
    <row r="1" spans="1:16" ht="15.75" thickBot="1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2" t="s">
        <v>42</v>
      </c>
      <c r="P1" s="26" t="s">
        <v>47</v>
      </c>
    </row>
    <row r="2" spans="1:16" x14ac:dyDescent="0.25">
      <c r="A2" s="18" t="s">
        <v>23</v>
      </c>
      <c r="B2" s="18">
        <v>212</v>
      </c>
      <c r="C2" s="18">
        <v>593</v>
      </c>
      <c r="D2" s="18">
        <v>575</v>
      </c>
      <c r="E2" s="18">
        <v>1168</v>
      </c>
      <c r="F2" s="18">
        <v>2.5479374359198101</v>
      </c>
      <c r="G2" s="18">
        <v>2144.317032040472</v>
      </c>
      <c r="H2" s="18">
        <v>2222.052173913044</v>
      </c>
      <c r="I2" s="18">
        <v>-77.735141872571603</v>
      </c>
      <c r="J2" s="18">
        <v>2708.5887239801191</v>
      </c>
      <c r="K2" s="18">
        <v>2785.1162501572312</v>
      </c>
      <c r="L2" s="18">
        <v>0.48337766465396381</v>
      </c>
      <c r="M2" s="18">
        <v>0.62891867108223698</v>
      </c>
      <c r="N2" s="18" t="s">
        <v>24</v>
      </c>
      <c r="O2" s="19">
        <f>MIN(J2,K2)</f>
        <v>2708.5887239801191</v>
      </c>
      <c r="P2" s="27">
        <f>ROUNDUP((($B$40+$B$41) / ($B$37/O2))^2,0)</f>
        <v>5759</v>
      </c>
    </row>
    <row r="3" spans="1:16" x14ac:dyDescent="0.25">
      <c r="A3" s="12" t="s">
        <v>23</v>
      </c>
      <c r="B3" s="12">
        <v>278</v>
      </c>
      <c r="C3" s="12">
        <v>535</v>
      </c>
      <c r="D3" s="12">
        <v>489</v>
      </c>
      <c r="E3" s="12">
        <v>1024</v>
      </c>
      <c r="F3" s="12">
        <v>2.233808162998189</v>
      </c>
      <c r="G3" s="12">
        <v>2499.3457943925232</v>
      </c>
      <c r="H3" s="12">
        <v>2185.21472392638</v>
      </c>
      <c r="I3" s="12">
        <v>314.13107046614277</v>
      </c>
      <c r="J3" s="12">
        <v>2915.9953289536438</v>
      </c>
      <c r="K3" s="12">
        <v>2574.9155972376111</v>
      </c>
      <c r="L3" s="12">
        <v>-1.8304258823871311</v>
      </c>
      <c r="M3" s="12">
        <v>6.7477716140211128E-2</v>
      </c>
      <c r="N3" s="12" t="s">
        <v>24</v>
      </c>
      <c r="O3" s="17">
        <f t="shared" ref="O3:O6" si="0">MIN(J3,K3)</f>
        <v>2574.9155972376111</v>
      </c>
      <c r="P3" s="28">
        <f t="shared" ref="P3:P6" si="1">ROUNDUP((($B$40+$B$41) / ($B$37/O3))^2,0)</f>
        <v>5204</v>
      </c>
    </row>
    <row r="4" spans="1:16" x14ac:dyDescent="0.25">
      <c r="A4" s="12" t="s">
        <v>23</v>
      </c>
      <c r="B4" s="12">
        <v>202</v>
      </c>
      <c r="C4" s="12">
        <v>551</v>
      </c>
      <c r="D4" s="12">
        <v>565</v>
      </c>
      <c r="E4" s="12">
        <v>1116</v>
      </c>
      <c r="F4" s="12">
        <v>2.4345018651425581</v>
      </c>
      <c r="G4" s="12">
        <v>2927.341197822142</v>
      </c>
      <c r="H4" s="12">
        <v>2730.378761061947</v>
      </c>
      <c r="I4" s="12">
        <v>196.96243676019461</v>
      </c>
      <c r="J4" s="12">
        <v>2956.686241494881</v>
      </c>
      <c r="K4" s="12">
        <v>2737.8857851630301</v>
      </c>
      <c r="L4" s="12">
        <v>-1.153960596028992</v>
      </c>
      <c r="M4" s="12">
        <v>0.24876639026317529</v>
      </c>
      <c r="N4" s="12" t="s">
        <v>24</v>
      </c>
      <c r="O4" s="17">
        <f t="shared" si="0"/>
        <v>2737.8857851630301</v>
      </c>
      <c r="P4" s="28">
        <f t="shared" si="1"/>
        <v>5884</v>
      </c>
    </row>
    <row r="5" spans="1:16" x14ac:dyDescent="0.25">
      <c r="A5" s="12" t="s">
        <v>23</v>
      </c>
      <c r="B5" s="12">
        <v>444</v>
      </c>
      <c r="C5" s="12">
        <v>650</v>
      </c>
      <c r="D5" s="12">
        <v>562</v>
      </c>
      <c r="E5" s="12">
        <v>1212</v>
      </c>
      <c r="F5" s="12">
        <v>2.6439213804236381</v>
      </c>
      <c r="G5" s="12">
        <v>2404.106153846154</v>
      </c>
      <c r="H5" s="12">
        <v>2545.7348754448399</v>
      </c>
      <c r="I5" s="12">
        <v>-141.62872159868579</v>
      </c>
      <c r="J5" s="12">
        <v>2810.8284873546108</v>
      </c>
      <c r="K5" s="12">
        <v>2797.138763933518</v>
      </c>
      <c r="L5" s="12">
        <v>0.87705147434136754</v>
      </c>
      <c r="M5" s="12">
        <v>0.38063622813126857</v>
      </c>
      <c r="N5" s="12" t="s">
        <v>24</v>
      </c>
      <c r="O5" s="17">
        <f t="shared" si="0"/>
        <v>2797.138763933518</v>
      </c>
      <c r="P5" s="28">
        <f t="shared" si="1"/>
        <v>6141</v>
      </c>
    </row>
    <row r="6" spans="1:16" x14ac:dyDescent="0.25">
      <c r="A6" s="12" t="s">
        <v>23</v>
      </c>
      <c r="B6" s="12">
        <v>277</v>
      </c>
      <c r="C6" s="12">
        <v>708</v>
      </c>
      <c r="D6" s="12">
        <v>709</v>
      </c>
      <c r="E6" s="12">
        <v>1417</v>
      </c>
      <c r="F6" s="12">
        <v>3.0911193036801121</v>
      </c>
      <c r="G6" s="12">
        <v>2285.75</v>
      </c>
      <c r="H6" s="12">
        <v>2431.3653032440061</v>
      </c>
      <c r="I6" s="12">
        <v>-145.61530324400559</v>
      </c>
      <c r="J6" s="12">
        <v>2712.677878262808</v>
      </c>
      <c r="K6" s="12">
        <v>2868.5875686413842</v>
      </c>
      <c r="L6" s="12">
        <v>0.98174417107903589</v>
      </c>
      <c r="M6" s="12">
        <v>0.32639422051119071</v>
      </c>
      <c r="N6" s="12" t="s">
        <v>24</v>
      </c>
      <c r="O6" s="17">
        <f t="shared" si="0"/>
        <v>2712.677878262808</v>
      </c>
      <c r="P6" s="28">
        <f t="shared" si="1"/>
        <v>5776</v>
      </c>
    </row>
    <row r="7" spans="1:16" x14ac:dyDescent="0.25">
      <c r="A7" s="12" t="s">
        <v>25</v>
      </c>
      <c r="B7" s="12">
        <v>13</v>
      </c>
      <c r="C7" s="12">
        <v>142</v>
      </c>
      <c r="D7" s="12">
        <v>150</v>
      </c>
      <c r="E7" s="12">
        <v>292</v>
      </c>
      <c r="F7" s="12">
        <v>0.63698435897995243</v>
      </c>
      <c r="G7" s="12">
        <v>1970.549295774648</v>
      </c>
      <c r="H7" s="12">
        <v>2336.186666666666</v>
      </c>
      <c r="I7" s="12">
        <v>-365.63737089201868</v>
      </c>
      <c r="J7" s="12">
        <v>2575.9447611403261</v>
      </c>
      <c r="K7" s="12">
        <v>2709.895464406135</v>
      </c>
      <c r="L7" s="12">
        <v>1.1820260644750169</v>
      </c>
      <c r="M7" s="12">
        <v>0.23816368331177981</v>
      </c>
      <c r="N7" s="12" t="s">
        <v>24</v>
      </c>
      <c r="O7" s="17">
        <f>MIN(J7,K7)</f>
        <v>2575.9447611403261</v>
      </c>
      <c r="P7" s="28">
        <f>ROUNDUP((($B$40+$B$41) / ($B$37/O7))^2,0)</f>
        <v>5209</v>
      </c>
    </row>
    <row r="8" spans="1:16" x14ac:dyDescent="0.25">
      <c r="A8" s="12" t="s">
        <v>26</v>
      </c>
      <c r="B8" s="12">
        <v>54</v>
      </c>
      <c r="C8" s="12">
        <v>633</v>
      </c>
      <c r="D8" s="12">
        <v>640</v>
      </c>
      <c r="E8" s="12">
        <v>1273</v>
      </c>
      <c r="F8" s="12">
        <v>2.7769900307584909</v>
      </c>
      <c r="G8" s="12">
        <v>1702.7140600315961</v>
      </c>
      <c r="H8" s="12">
        <v>1688.5125</v>
      </c>
      <c r="I8" s="12">
        <v>14.201560031595591</v>
      </c>
      <c r="J8" s="12">
        <v>2565.132439533973</v>
      </c>
      <c r="K8" s="12">
        <v>2628.01249032338</v>
      </c>
      <c r="L8" s="12">
        <v>-9.7568656889196193E-2</v>
      </c>
      <c r="M8" s="12">
        <v>0.92229019988265493</v>
      </c>
      <c r="N8" s="12" t="s">
        <v>24</v>
      </c>
      <c r="O8" s="17">
        <f>MIN(J8,K8)</f>
        <v>2565.132439533973</v>
      </c>
      <c r="P8" s="28">
        <f>ROUNDUP((($B$40+$B$41) / ($B$37/O8))^2,0)</f>
        <v>5165</v>
      </c>
    </row>
    <row r="9" spans="1:16" x14ac:dyDescent="0.25">
      <c r="A9" s="12" t="s">
        <v>26</v>
      </c>
      <c r="B9" s="12">
        <v>55</v>
      </c>
      <c r="C9" s="12">
        <v>422</v>
      </c>
      <c r="D9" s="12">
        <v>425</v>
      </c>
      <c r="E9" s="12">
        <v>847</v>
      </c>
      <c r="F9" s="12">
        <v>1.847690931698698</v>
      </c>
      <c r="G9" s="12">
        <v>2109.1066350710898</v>
      </c>
      <c r="H9" s="12">
        <v>2111.2729411764708</v>
      </c>
      <c r="I9" s="12">
        <v>-2.1663061053809538</v>
      </c>
      <c r="J9" s="12">
        <v>2790.9933852461841</v>
      </c>
      <c r="K9" s="12">
        <v>2804.2231882427632</v>
      </c>
      <c r="L9" s="12">
        <v>1.12679348284012E-2</v>
      </c>
      <c r="M9" s="12">
        <v>0.99101233871754602</v>
      </c>
      <c r="N9" s="12" t="s">
        <v>24</v>
      </c>
      <c r="O9" s="17">
        <f>MIN(J9,K9)</f>
        <v>2790.9933852461841</v>
      </c>
      <c r="P9" s="28">
        <f>ROUNDUP((($B$40+$B$41) / ($B$37/O9))^2,0)</f>
        <v>6114</v>
      </c>
    </row>
    <row r="10" spans="1:16" x14ac:dyDescent="0.25">
      <c r="A10" s="12" t="s">
        <v>14</v>
      </c>
      <c r="B10" s="12">
        <v>699</v>
      </c>
      <c r="C10" s="12">
        <v>482</v>
      </c>
      <c r="D10" s="12">
        <v>494</v>
      </c>
      <c r="E10" s="12">
        <v>976</v>
      </c>
      <c r="F10" s="12">
        <v>2.1290984053576492</v>
      </c>
      <c r="G10" s="12">
        <v>2422.286307053942</v>
      </c>
      <c r="H10" s="12">
        <v>2574.3522267206481</v>
      </c>
      <c r="I10" s="12">
        <v>-152.0659196667057</v>
      </c>
      <c r="J10" s="12">
        <v>3906.8178974938301</v>
      </c>
      <c r="K10" s="12">
        <v>4082.8513558716591</v>
      </c>
      <c r="L10" s="12">
        <v>0.59457604569322464</v>
      </c>
      <c r="M10" s="12">
        <v>0.55226503495765944</v>
      </c>
      <c r="N10" s="12" t="s">
        <v>24</v>
      </c>
      <c r="O10" s="17">
        <f>MIN(J10,K10)</f>
        <v>3906.8178974938301</v>
      </c>
      <c r="P10" s="28">
        <f>ROUNDUP((($B$40+$B$41) / ($B$37/O10))^2,0)</f>
        <v>11980</v>
      </c>
    </row>
    <row r="11" spans="1:16" x14ac:dyDescent="0.25">
      <c r="A11" s="12" t="s">
        <v>14</v>
      </c>
      <c r="B11" s="12">
        <v>477</v>
      </c>
      <c r="C11" s="12">
        <v>382</v>
      </c>
      <c r="D11" s="12">
        <v>386</v>
      </c>
      <c r="E11" s="12">
        <v>768</v>
      </c>
      <c r="F11" s="12">
        <v>1.6753561222486419</v>
      </c>
      <c r="G11" s="12">
        <v>2259.623036649215</v>
      </c>
      <c r="H11" s="12">
        <v>2496.987046632124</v>
      </c>
      <c r="I11" s="12">
        <v>-237.36400998290989</v>
      </c>
      <c r="J11" s="12">
        <v>3482.8460937348032</v>
      </c>
      <c r="K11" s="12">
        <v>3881.9947185225428</v>
      </c>
      <c r="L11" s="12">
        <v>0.89209603158988471</v>
      </c>
      <c r="M11" s="12">
        <v>0.37262428210711002</v>
      </c>
      <c r="N11" s="12" t="s">
        <v>24</v>
      </c>
      <c r="O11" s="17">
        <f>MIN(J11,K11)</f>
        <v>3482.8460937348032</v>
      </c>
      <c r="P11" s="28">
        <f>ROUNDUP((($B$40+$B$41) / ($B$37/O11))^2,0)</f>
        <v>9521</v>
      </c>
    </row>
    <row r="12" spans="1:16" x14ac:dyDescent="0.25">
      <c r="A12" s="12" t="s">
        <v>14</v>
      </c>
      <c r="B12" s="12">
        <v>544</v>
      </c>
      <c r="C12" s="12">
        <v>377</v>
      </c>
      <c r="D12" s="12">
        <v>416</v>
      </c>
      <c r="E12" s="12">
        <v>793</v>
      </c>
      <c r="F12" s="12">
        <v>1.72989245435309</v>
      </c>
      <c r="G12" s="12">
        <v>2621.4270557029181</v>
      </c>
      <c r="H12" s="12">
        <v>2635.5480769230771</v>
      </c>
      <c r="I12" s="12">
        <v>-14.12102122015949</v>
      </c>
      <c r="J12" s="12">
        <v>3714.8947510376788</v>
      </c>
      <c r="K12" s="12">
        <v>4639.8207461839838</v>
      </c>
      <c r="L12" s="12">
        <v>4.7506012752276713E-2</v>
      </c>
      <c r="M12" s="12">
        <v>0.96212210888796368</v>
      </c>
      <c r="N12" s="12" t="s">
        <v>24</v>
      </c>
      <c r="O12" s="17">
        <f>MIN(J12,K12)</f>
        <v>3714.8947510376788</v>
      </c>
      <c r="P12" s="28">
        <f>ROUNDUP((($B$40+$B$41) / ($B$37/O12))^2,0)</f>
        <v>10832</v>
      </c>
    </row>
    <row r="13" spans="1:16" x14ac:dyDescent="0.25">
      <c r="A13" s="12" t="s">
        <v>14</v>
      </c>
      <c r="B13" s="12">
        <v>516</v>
      </c>
      <c r="C13" s="12">
        <v>634</v>
      </c>
      <c r="D13" s="12">
        <v>636</v>
      </c>
      <c r="E13" s="12">
        <v>1270</v>
      </c>
      <c r="F13" s="12">
        <v>2.7704456709059579</v>
      </c>
      <c r="G13" s="12">
        <v>3245.2003154574131</v>
      </c>
      <c r="H13" s="12">
        <v>2880.48427672956</v>
      </c>
      <c r="I13" s="12">
        <v>364.71603872785317</v>
      </c>
      <c r="J13" s="12">
        <v>4543.1692617437084</v>
      </c>
      <c r="K13" s="12">
        <v>3819.2928134705862</v>
      </c>
      <c r="L13" s="12">
        <v>-1.5482540757527701</v>
      </c>
      <c r="M13" s="12">
        <v>0.12181830676260361</v>
      </c>
      <c r="N13" s="12" t="s">
        <v>24</v>
      </c>
      <c r="O13" s="17">
        <f>MIN(J13,K13)</f>
        <v>3819.2928134705862</v>
      </c>
      <c r="P13" s="28">
        <f>ROUNDUP((($B$40+$B$41) / ($B$37/O13))^2,0)</f>
        <v>11450</v>
      </c>
    </row>
    <row r="14" spans="1:16" x14ac:dyDescent="0.25">
      <c r="A14" s="12" t="s">
        <v>14</v>
      </c>
      <c r="B14" s="12">
        <v>439</v>
      </c>
      <c r="C14" s="12">
        <v>355</v>
      </c>
      <c r="D14" s="12">
        <v>351</v>
      </c>
      <c r="E14" s="12">
        <v>706</v>
      </c>
      <c r="F14" s="12">
        <v>1.5401060186296109</v>
      </c>
      <c r="G14" s="12">
        <v>2481.9605633802821</v>
      </c>
      <c r="H14" s="12">
        <v>2400.635327635327</v>
      </c>
      <c r="I14" s="12">
        <v>81.325235744954171</v>
      </c>
      <c r="J14" s="12">
        <v>4040.4410068102538</v>
      </c>
      <c r="K14" s="12">
        <v>3722.1170724360341</v>
      </c>
      <c r="L14" s="12">
        <v>-0.27819655769038959</v>
      </c>
      <c r="M14" s="12">
        <v>0.7809435695125726</v>
      </c>
      <c r="N14" s="12" t="s">
        <v>24</v>
      </c>
      <c r="O14" s="17">
        <f>MIN(J14,K14)</f>
        <v>3722.1170724360341</v>
      </c>
      <c r="P14" s="28">
        <f>ROUNDUP((($B$40+$B$41) / ($B$37/O14))^2,0)</f>
        <v>10874</v>
      </c>
    </row>
    <row r="15" spans="1:16" x14ac:dyDescent="0.25">
      <c r="A15" s="12" t="s">
        <v>16</v>
      </c>
      <c r="B15" s="12">
        <v>112</v>
      </c>
      <c r="C15" s="12">
        <v>652</v>
      </c>
      <c r="D15" s="12">
        <v>683</v>
      </c>
      <c r="E15" s="12">
        <v>1335</v>
      </c>
      <c r="F15" s="12">
        <v>2.9122401343775222</v>
      </c>
      <c r="G15" s="12">
        <v>2488.1150306748468</v>
      </c>
      <c r="H15" s="12">
        <v>2218.6368960468521</v>
      </c>
      <c r="I15" s="12">
        <v>269.47813462799468</v>
      </c>
      <c r="J15" s="12">
        <v>2778.1791825699402</v>
      </c>
      <c r="K15" s="12">
        <v>2780.7906600356741</v>
      </c>
      <c r="L15" s="12">
        <v>-1.770750677624604</v>
      </c>
      <c r="M15" s="12">
        <v>7.6831141887277507E-2</v>
      </c>
      <c r="N15" s="12" t="s">
        <v>24</v>
      </c>
      <c r="O15" s="17">
        <f>MIN(J15,K15)</f>
        <v>2778.1791825699402</v>
      </c>
      <c r="P15" s="28">
        <f>ROUNDUP((($B$40+$B$41) / ($B$37/O15))^2,0)</f>
        <v>6058</v>
      </c>
    </row>
    <row r="16" spans="1:16" x14ac:dyDescent="0.25">
      <c r="A16" s="12" t="s">
        <v>16</v>
      </c>
      <c r="B16" s="12">
        <v>394</v>
      </c>
      <c r="C16" s="12">
        <v>104</v>
      </c>
      <c r="D16" s="12">
        <v>85</v>
      </c>
      <c r="E16" s="12">
        <v>189</v>
      </c>
      <c r="F16" s="12">
        <v>0.41229467070962678</v>
      </c>
      <c r="G16" s="12">
        <v>1229.6442307692309</v>
      </c>
      <c r="H16" s="12">
        <v>973.62352941176471</v>
      </c>
      <c r="I16" s="12">
        <v>256.02070135746601</v>
      </c>
      <c r="J16" s="12">
        <v>2208.2278398271669</v>
      </c>
      <c r="K16" s="12">
        <v>1940.8548250244589</v>
      </c>
      <c r="L16" s="12">
        <v>-0.84775118125875082</v>
      </c>
      <c r="M16" s="12">
        <v>0.39766620246400769</v>
      </c>
      <c r="N16" s="12" t="s">
        <v>24</v>
      </c>
      <c r="O16" s="17">
        <f>MIN(J16,K16)</f>
        <v>1940.8548250244589</v>
      </c>
      <c r="P16" s="28">
        <f>ROUNDUP((($B$40+$B$41) / ($B$37/O16))^2,0)</f>
        <v>2957</v>
      </c>
    </row>
    <row r="17" spans="1:16" x14ac:dyDescent="0.25">
      <c r="A17" s="12" t="s">
        <v>16</v>
      </c>
      <c r="B17" s="12">
        <v>576</v>
      </c>
      <c r="C17" s="12">
        <v>630</v>
      </c>
      <c r="D17" s="12">
        <v>657</v>
      </c>
      <c r="E17" s="12">
        <v>1287</v>
      </c>
      <c r="F17" s="12">
        <v>2.8075303767369819</v>
      </c>
      <c r="G17" s="12">
        <v>1594.436507936508</v>
      </c>
      <c r="H17" s="12">
        <v>1342.1293759512939</v>
      </c>
      <c r="I17" s="12">
        <v>252.30713198521431</v>
      </c>
      <c r="J17" s="12">
        <v>2683.7272105777388</v>
      </c>
      <c r="K17" s="12">
        <v>2415.8226638760748</v>
      </c>
      <c r="L17" s="12">
        <v>-1.7701744708167659</v>
      </c>
      <c r="M17" s="12">
        <v>7.6940250983994193E-2</v>
      </c>
      <c r="N17" s="12" t="s">
        <v>24</v>
      </c>
      <c r="O17" s="17">
        <f>MIN(J17,K17)</f>
        <v>2415.8226638760748</v>
      </c>
      <c r="P17" s="28">
        <f>ROUNDUP((($B$40+$B$41) / ($B$37/O17))^2,0)</f>
        <v>4581</v>
      </c>
    </row>
    <row r="18" spans="1:16" x14ac:dyDescent="0.25">
      <c r="A18" s="12" t="s">
        <v>16</v>
      </c>
      <c r="B18" s="12">
        <v>309</v>
      </c>
      <c r="C18" s="12">
        <v>240</v>
      </c>
      <c r="D18" s="12">
        <v>238</v>
      </c>
      <c r="E18" s="12">
        <v>478</v>
      </c>
      <c r="F18" s="12">
        <v>1.042734669837045</v>
      </c>
      <c r="G18" s="12">
        <v>2706.2791666666672</v>
      </c>
      <c r="H18" s="12">
        <v>2392.8949579831929</v>
      </c>
      <c r="I18" s="12">
        <v>313.38420868347339</v>
      </c>
      <c r="J18" s="12">
        <v>2814.9398488604011</v>
      </c>
      <c r="K18" s="12">
        <v>2761.9387158176169</v>
      </c>
      <c r="L18" s="12">
        <v>-1.2285525117762699</v>
      </c>
      <c r="M18" s="12">
        <v>0.21984675866301021</v>
      </c>
      <c r="N18" s="12" t="s">
        <v>24</v>
      </c>
      <c r="O18" s="17">
        <f>MIN(J18,K18)</f>
        <v>2761.9387158176169</v>
      </c>
      <c r="P18" s="28">
        <f>ROUNDUP((($B$40+$B$41) / ($B$37/O18))^2,0)</f>
        <v>5988</v>
      </c>
    </row>
    <row r="19" spans="1:16" x14ac:dyDescent="0.25">
      <c r="A19" s="12" t="s">
        <v>17</v>
      </c>
      <c r="B19" s="12">
        <v>6543</v>
      </c>
      <c r="C19" s="12">
        <v>662</v>
      </c>
      <c r="D19" s="12">
        <v>689</v>
      </c>
      <c r="E19" s="12">
        <v>1351</v>
      </c>
      <c r="F19" s="12">
        <v>2.9471433869243691</v>
      </c>
      <c r="G19" s="12">
        <v>1715.486404833837</v>
      </c>
      <c r="H19" s="12">
        <v>1528.3251088534109</v>
      </c>
      <c r="I19" s="12">
        <v>187.1612959804261</v>
      </c>
      <c r="J19" s="12">
        <v>2457.368732057007</v>
      </c>
      <c r="K19" s="12">
        <v>2338.5220633259491</v>
      </c>
      <c r="L19" s="12">
        <v>-1.4329780242023979</v>
      </c>
      <c r="M19" s="12">
        <v>0.1520976721532509</v>
      </c>
      <c r="N19" s="12" t="s">
        <v>24</v>
      </c>
      <c r="O19" s="17">
        <f>MIN(J19,K19)</f>
        <v>2338.5220633259491</v>
      </c>
      <c r="P19" s="28">
        <f>ROUNDUP((($B$40+$B$41) / ($B$37/O19))^2,0)</f>
        <v>4293</v>
      </c>
    </row>
    <row r="20" spans="1:16" x14ac:dyDescent="0.25">
      <c r="A20" s="12" t="s">
        <v>17</v>
      </c>
      <c r="B20" s="12">
        <v>3987</v>
      </c>
      <c r="C20" s="12">
        <v>801</v>
      </c>
      <c r="D20" s="12">
        <v>785</v>
      </c>
      <c r="E20" s="12">
        <v>1586</v>
      </c>
      <c r="F20" s="12">
        <v>3.4597849087061801</v>
      </c>
      <c r="G20" s="12">
        <v>1602.995006242197</v>
      </c>
      <c r="H20" s="12">
        <v>1639.857324840764</v>
      </c>
      <c r="I20" s="12">
        <v>-36.862318598567072</v>
      </c>
      <c r="J20" s="12">
        <v>2518.8292052012962</v>
      </c>
      <c r="K20" s="12">
        <v>2686.3174166097829</v>
      </c>
      <c r="L20" s="12">
        <v>0.28178227398088551</v>
      </c>
      <c r="M20" s="12">
        <v>0.77814753419030236</v>
      </c>
      <c r="N20" s="12" t="s">
        <v>24</v>
      </c>
      <c r="O20" s="17">
        <f>MIN(J20,K20)</f>
        <v>2518.8292052012962</v>
      </c>
      <c r="P20" s="28">
        <f>ROUNDUP((($B$40+$B$41) / ($B$37/O20))^2,0)</f>
        <v>4980</v>
      </c>
    </row>
    <row r="21" spans="1:16" x14ac:dyDescent="0.25">
      <c r="A21" s="12" t="s">
        <v>17</v>
      </c>
      <c r="B21" s="12">
        <v>8543</v>
      </c>
      <c r="C21" s="12">
        <v>148</v>
      </c>
      <c r="D21" s="12">
        <v>140</v>
      </c>
      <c r="E21" s="12">
        <v>288</v>
      </c>
      <c r="F21" s="12">
        <v>0.62825854584324081</v>
      </c>
      <c r="G21" s="12">
        <v>1859.7770270270271</v>
      </c>
      <c r="H21" s="12">
        <v>1804.25</v>
      </c>
      <c r="I21" s="12">
        <v>55.527027027027088</v>
      </c>
      <c r="J21" s="12">
        <v>2568.9804293811749</v>
      </c>
      <c r="K21" s="12">
        <v>3015.7266304677269</v>
      </c>
      <c r="L21" s="12">
        <v>-0.1677608966738002</v>
      </c>
      <c r="M21" s="12">
        <v>0.86689537676896467</v>
      </c>
      <c r="N21" s="12" t="s">
        <v>24</v>
      </c>
      <c r="O21" s="17">
        <f>MIN(J21,K21)</f>
        <v>2568.9804293811749</v>
      </c>
      <c r="P21" s="28">
        <f>ROUNDUP((($B$40+$B$41) / ($B$37/O21))^2,0)</f>
        <v>5180</v>
      </c>
    </row>
    <row r="22" spans="1:16" x14ac:dyDescent="0.25">
      <c r="A22" s="12" t="s">
        <v>17</v>
      </c>
      <c r="B22" s="12">
        <v>2212</v>
      </c>
      <c r="C22" s="12">
        <v>422</v>
      </c>
      <c r="D22" s="12">
        <v>397</v>
      </c>
      <c r="E22" s="12">
        <v>819</v>
      </c>
      <c r="F22" s="12">
        <v>1.7866102397417161</v>
      </c>
      <c r="G22" s="12">
        <v>2827.2369668246452</v>
      </c>
      <c r="H22" s="12">
        <v>2739.3627204030231</v>
      </c>
      <c r="I22" s="12">
        <v>87.874246421622047</v>
      </c>
      <c r="J22" s="12">
        <v>3197.5429641908459</v>
      </c>
      <c r="K22" s="12">
        <v>2446.9750361819461</v>
      </c>
      <c r="L22" s="12">
        <v>-0.44320779767289159</v>
      </c>
      <c r="M22" s="12">
        <v>0.65773756626996238</v>
      </c>
      <c r="N22" s="12" t="s">
        <v>24</v>
      </c>
      <c r="O22" s="17">
        <f>MIN(J22,K22)</f>
        <v>2446.9750361819461</v>
      </c>
      <c r="P22" s="28">
        <f>ROUNDUP((($B$40+$B$41) / ($B$37/O22))^2,0)</f>
        <v>4700</v>
      </c>
    </row>
    <row r="23" spans="1:16" x14ac:dyDescent="0.25">
      <c r="A23" s="12" t="s">
        <v>17</v>
      </c>
      <c r="B23" s="12">
        <v>9121</v>
      </c>
      <c r="C23" s="12">
        <v>131</v>
      </c>
      <c r="D23" s="12">
        <v>108</v>
      </c>
      <c r="E23" s="12">
        <v>239</v>
      </c>
      <c r="F23" s="12">
        <v>0.52136733491852272</v>
      </c>
      <c r="G23" s="12">
        <v>1976.854961832061</v>
      </c>
      <c r="H23" s="12">
        <v>1856.9444444444439</v>
      </c>
      <c r="I23" s="12">
        <v>119.91051738761669</v>
      </c>
      <c r="J23" s="12">
        <v>2605.7974274007302</v>
      </c>
      <c r="K23" s="12">
        <v>2442.3261657052421</v>
      </c>
      <c r="L23" s="12">
        <v>-0.36646667467885019</v>
      </c>
      <c r="M23" s="12">
        <v>0.71434929078190579</v>
      </c>
      <c r="N23" s="12" t="s">
        <v>24</v>
      </c>
      <c r="O23" s="17">
        <f>MIN(J23,K23)</f>
        <v>2442.3261657052421</v>
      </c>
      <c r="P23" s="28">
        <f>ROUNDUP((($B$40+$B$41) / ($B$37/O23))^2,0)</f>
        <v>4682</v>
      </c>
    </row>
    <row r="24" spans="1:16" x14ac:dyDescent="0.25">
      <c r="A24" s="12" t="s">
        <v>17</v>
      </c>
      <c r="B24" s="12">
        <v>3786</v>
      </c>
      <c r="C24" s="12">
        <v>237</v>
      </c>
      <c r="D24" s="12">
        <v>278</v>
      </c>
      <c r="E24" s="12">
        <v>515</v>
      </c>
      <c r="F24" s="12">
        <v>1.123448441351629</v>
      </c>
      <c r="G24" s="12">
        <v>2636.658227848101</v>
      </c>
      <c r="H24" s="12">
        <v>2688.2302158273378</v>
      </c>
      <c r="I24" s="12">
        <v>-51.571987979236837</v>
      </c>
      <c r="J24" s="12">
        <v>2713.063676741257</v>
      </c>
      <c r="K24" s="12">
        <v>3292.9376410463851</v>
      </c>
      <c r="L24" s="12">
        <v>0.19483607915070089</v>
      </c>
      <c r="M24" s="12">
        <v>0.84559850027200678</v>
      </c>
      <c r="N24" s="12" t="s">
        <v>24</v>
      </c>
      <c r="O24" s="17">
        <f>MIN(J24,K24)</f>
        <v>2713.063676741257</v>
      </c>
      <c r="P24" s="28">
        <f>ROUNDUP((($B$40+$B$41) / ($B$37/O24))^2,0)</f>
        <v>5778</v>
      </c>
    </row>
    <row r="25" spans="1:16" x14ac:dyDescent="0.25">
      <c r="A25" s="12" t="s">
        <v>27</v>
      </c>
      <c r="B25" s="12">
        <v>80</v>
      </c>
      <c r="C25" s="12">
        <v>844</v>
      </c>
      <c r="D25" s="12">
        <v>880</v>
      </c>
      <c r="E25" s="12">
        <v>1724</v>
      </c>
      <c r="F25" s="12">
        <v>3.760825461922733</v>
      </c>
      <c r="G25" s="12">
        <v>2517.3305687203788</v>
      </c>
      <c r="H25" s="12">
        <v>2511.9727272727268</v>
      </c>
      <c r="I25" s="12">
        <v>5.3578414476519356</v>
      </c>
      <c r="J25" s="12">
        <v>2797.1230332385999</v>
      </c>
      <c r="K25" s="12">
        <v>2824.719932223567</v>
      </c>
      <c r="L25" s="12">
        <v>-3.9566201648877468E-2</v>
      </c>
      <c r="M25" s="12">
        <v>0.9684435646708115</v>
      </c>
      <c r="N25" s="12" t="s">
        <v>24</v>
      </c>
      <c r="O25" s="17">
        <f>MIN(J25,K25)</f>
        <v>2797.1230332385999</v>
      </c>
      <c r="P25" s="28">
        <f>ROUNDUP((($B$40+$B$41) / ($B$37/O25))^2,0)</f>
        <v>6141</v>
      </c>
    </row>
    <row r="26" spans="1:16" x14ac:dyDescent="0.25">
      <c r="A26" s="12" t="s">
        <v>27</v>
      </c>
      <c r="B26" s="12">
        <v>82</v>
      </c>
      <c r="C26" s="12">
        <v>169</v>
      </c>
      <c r="D26" s="12">
        <v>229</v>
      </c>
      <c r="E26" s="12">
        <v>398</v>
      </c>
      <c r="F26" s="12">
        <v>0.86821840710281184</v>
      </c>
      <c r="G26" s="12">
        <v>2586.0118343195272</v>
      </c>
      <c r="H26" s="12">
        <v>2655.6724890829701</v>
      </c>
      <c r="I26" s="12">
        <v>-69.660654763442835</v>
      </c>
      <c r="J26" s="12">
        <v>2676.4355627004538</v>
      </c>
      <c r="K26" s="12">
        <v>2929.3636863964912</v>
      </c>
      <c r="L26" s="12">
        <v>0.24650524539756849</v>
      </c>
      <c r="M26" s="12">
        <v>0.80542480583820231</v>
      </c>
      <c r="N26" s="12" t="s">
        <v>24</v>
      </c>
      <c r="O26" s="17">
        <f>MIN(J26,K26)</f>
        <v>2676.4355627004538</v>
      </c>
      <c r="P26" s="28">
        <f>ROUNDUP((($B$40+$B$41) / ($B$37/O26))^2,0)</f>
        <v>5623</v>
      </c>
    </row>
    <row r="27" spans="1:16" x14ac:dyDescent="0.25">
      <c r="A27" s="12" t="s">
        <v>28</v>
      </c>
      <c r="B27" s="12">
        <v>88</v>
      </c>
      <c r="C27" s="12">
        <v>190</v>
      </c>
      <c r="D27" s="12">
        <v>167</v>
      </c>
      <c r="E27" s="12">
        <v>357</v>
      </c>
      <c r="F27" s="12">
        <v>0.77877882245151719</v>
      </c>
      <c r="G27" s="12">
        <v>2902.410526315789</v>
      </c>
      <c r="H27" s="12">
        <v>2439.4610778443121</v>
      </c>
      <c r="I27" s="12">
        <v>462.94944847147781</v>
      </c>
      <c r="J27" s="12">
        <v>3074.648886892026</v>
      </c>
      <c r="K27" s="12">
        <v>2689.3430530913829</v>
      </c>
      <c r="L27" s="12">
        <v>-1.5175500938340989</v>
      </c>
      <c r="M27" s="12">
        <v>0.13001786285422051</v>
      </c>
      <c r="N27" s="12" t="s">
        <v>24</v>
      </c>
      <c r="O27" s="17">
        <f>MIN(J27,K27)</f>
        <v>2689.3430530913829</v>
      </c>
      <c r="P27" s="28">
        <f>ROUNDUP((($B$40+$B$41) / ($B$37/O27))^2,0)</f>
        <v>5677</v>
      </c>
    </row>
    <row r="28" spans="1:16" x14ac:dyDescent="0.25">
      <c r="A28" s="12" t="s">
        <v>29</v>
      </c>
      <c r="B28" s="12">
        <v>19</v>
      </c>
      <c r="C28" s="12">
        <v>130</v>
      </c>
      <c r="D28" s="12">
        <v>146</v>
      </c>
      <c r="E28" s="12">
        <v>276</v>
      </c>
      <c r="F28" s="12">
        <v>0.60208110643310575</v>
      </c>
      <c r="G28" s="12">
        <v>2043.823076923077</v>
      </c>
      <c r="H28" s="12">
        <v>1743.3767123287671</v>
      </c>
      <c r="I28" s="12">
        <v>300.4463645943099</v>
      </c>
      <c r="J28" s="12">
        <v>2442.2667875313782</v>
      </c>
      <c r="K28" s="12">
        <v>2891.3333593759398</v>
      </c>
      <c r="L28" s="12">
        <v>-0.93551606144451271</v>
      </c>
      <c r="M28" s="12">
        <v>0.35034839915947902</v>
      </c>
      <c r="N28" s="12" t="s">
        <v>24</v>
      </c>
      <c r="O28" s="17">
        <f>MIN(J28,K28)</f>
        <v>2442.2667875313782</v>
      </c>
      <c r="P28" s="28">
        <f>ROUNDUP((($B$40+$B$41) / ($B$37/O28))^2,0)</f>
        <v>4682</v>
      </c>
    </row>
    <row r="29" spans="1:16" x14ac:dyDescent="0.25">
      <c r="A29" s="12" t="s">
        <v>30</v>
      </c>
      <c r="B29" s="12">
        <v>72</v>
      </c>
      <c r="C29" s="12">
        <v>609</v>
      </c>
      <c r="D29" s="12">
        <v>639</v>
      </c>
      <c r="E29" s="12">
        <v>1248</v>
      </c>
      <c r="F29" s="12">
        <v>2.7224536986540429</v>
      </c>
      <c r="G29" s="12">
        <v>2371.4334975369461</v>
      </c>
      <c r="H29" s="12">
        <v>2523.3755868544599</v>
      </c>
      <c r="I29" s="12">
        <v>-151.9420893175143</v>
      </c>
      <c r="J29" s="12">
        <v>2906.8244575313529</v>
      </c>
      <c r="K29" s="12">
        <v>2795.9171755336051</v>
      </c>
      <c r="L29" s="12">
        <v>0.94035361645956916</v>
      </c>
      <c r="M29" s="12">
        <v>0.34721984597332789</v>
      </c>
      <c r="N29" s="12" t="s">
        <v>24</v>
      </c>
      <c r="O29" s="17">
        <f>MIN(J29,K29)</f>
        <v>2795.9171755336051</v>
      </c>
      <c r="P29" s="28">
        <f>ROUNDUP((($B$40+$B$41) / ($B$37/O29))^2,0)</f>
        <v>6136</v>
      </c>
    </row>
    <row r="30" spans="1:16" x14ac:dyDescent="0.25">
      <c r="A30" s="12" t="s">
        <v>30</v>
      </c>
      <c r="B30" s="12">
        <v>73</v>
      </c>
      <c r="C30" s="12">
        <v>187</v>
      </c>
      <c r="D30" s="12">
        <v>167</v>
      </c>
      <c r="E30" s="12">
        <v>354</v>
      </c>
      <c r="F30" s="12">
        <v>0.77223446259898343</v>
      </c>
      <c r="G30" s="12">
        <v>2092.181818181818</v>
      </c>
      <c r="H30" s="12">
        <v>2521.958083832335</v>
      </c>
      <c r="I30" s="12">
        <v>-429.77626565051742</v>
      </c>
      <c r="J30" s="12">
        <v>2530.2746480809951</v>
      </c>
      <c r="K30" s="12">
        <v>2875.45963293559</v>
      </c>
      <c r="L30" s="12">
        <v>1.4851033592835969</v>
      </c>
      <c r="M30" s="12">
        <v>0.13846276691258799</v>
      </c>
      <c r="N30" s="12" t="s">
        <v>24</v>
      </c>
      <c r="O30" s="17">
        <f>MIN(J30,K30)</f>
        <v>2530.2746480809951</v>
      </c>
      <c r="P30" s="28">
        <f>ROUNDUP((($B$40+$B$41) / ($B$37/O30))^2,0)</f>
        <v>5026</v>
      </c>
    </row>
    <row r="31" spans="1:16" x14ac:dyDescent="0.25">
      <c r="A31" s="12" t="s">
        <v>22</v>
      </c>
      <c r="B31" s="12">
        <v>1989</v>
      </c>
      <c r="C31" s="12">
        <v>239</v>
      </c>
      <c r="D31" s="12">
        <v>270</v>
      </c>
      <c r="E31" s="12">
        <v>509</v>
      </c>
      <c r="F31" s="12">
        <v>1.110359721646561</v>
      </c>
      <c r="G31" s="12">
        <v>4407.3849372384939</v>
      </c>
      <c r="H31" s="12">
        <v>4163.9592592592589</v>
      </c>
      <c r="I31" s="12">
        <v>243.42567797923491</v>
      </c>
      <c r="J31" s="12">
        <v>2737.9007251199769</v>
      </c>
      <c r="K31" s="12">
        <v>2492.0962933115161</v>
      </c>
      <c r="L31" s="12">
        <v>-1.0440009533424639</v>
      </c>
      <c r="M31" s="12">
        <v>0.29700553034601318</v>
      </c>
      <c r="N31" s="12" t="s">
        <v>24</v>
      </c>
      <c r="O31" s="17">
        <f>MIN(J31,K31)</f>
        <v>2492.0962933115161</v>
      </c>
      <c r="P31" s="28">
        <f>ROUNDUP((($B$40+$B$41) / ($B$37/O31))^2,0)</f>
        <v>4875</v>
      </c>
    </row>
    <row r="32" spans="1:16" x14ac:dyDescent="0.25">
      <c r="A32" s="12" t="s">
        <v>31</v>
      </c>
      <c r="B32" s="12">
        <v>69</v>
      </c>
      <c r="C32" s="12">
        <v>75</v>
      </c>
      <c r="D32" s="12">
        <v>78</v>
      </c>
      <c r="E32" s="12">
        <v>153</v>
      </c>
      <c r="F32" s="12">
        <v>0.33376235247922159</v>
      </c>
      <c r="G32" s="12">
        <v>1171.4533333333329</v>
      </c>
      <c r="H32" s="12">
        <v>600.15384615384619</v>
      </c>
      <c r="I32" s="12">
        <v>571.29948717948719</v>
      </c>
      <c r="J32" s="12">
        <v>2578.1041027632468</v>
      </c>
      <c r="K32" s="12">
        <v>1690.1397550523429</v>
      </c>
      <c r="L32" s="12">
        <v>-1.614302026019274</v>
      </c>
      <c r="M32" s="12">
        <v>0.10894456910491809</v>
      </c>
      <c r="N32" s="12" t="s">
        <v>24</v>
      </c>
      <c r="O32" s="17">
        <f>MIN(J32,K32)</f>
        <v>1690.1397550523429</v>
      </c>
      <c r="P32" s="28">
        <f>ROUNDUP((($B$40+$B$41) / ($B$37/O32))^2,0)</f>
        <v>2243</v>
      </c>
    </row>
    <row r="33" spans="1:16" x14ac:dyDescent="0.25">
      <c r="A33" s="12" t="s">
        <v>32</v>
      </c>
      <c r="B33" s="12">
        <v>23</v>
      </c>
      <c r="C33" s="12">
        <v>124</v>
      </c>
      <c r="D33" s="12">
        <v>107</v>
      </c>
      <c r="E33" s="12">
        <v>231</v>
      </c>
      <c r="F33" s="12">
        <v>0.50391570864509938</v>
      </c>
      <c r="G33" s="12">
        <v>1384.6290322580651</v>
      </c>
      <c r="H33" s="12">
        <v>1315.981308411215</v>
      </c>
      <c r="I33" s="12">
        <v>68.647723846849658</v>
      </c>
      <c r="J33" s="12">
        <v>2471.6917759396779</v>
      </c>
      <c r="K33" s="12">
        <v>2220.0107129662838</v>
      </c>
      <c r="L33" s="12">
        <v>-0.22233856360355289</v>
      </c>
      <c r="M33" s="12">
        <v>0.82424882968573621</v>
      </c>
      <c r="N33" s="12" t="s">
        <v>24</v>
      </c>
      <c r="O33" s="17">
        <f>MIN(J33,K33)</f>
        <v>2220.0107129662838</v>
      </c>
      <c r="P33" s="28">
        <f>ROUNDUP((($B$40+$B$41) / ($B$37/O33))^2,0)</f>
        <v>3869</v>
      </c>
    </row>
    <row r="34" spans="1:16" ht="15.75" thickBot="1" x14ac:dyDescent="0.3">
      <c r="A34" s="24" t="s">
        <v>33</v>
      </c>
      <c r="B34" s="24">
        <v>2</v>
      </c>
      <c r="C34" s="24">
        <v>78</v>
      </c>
      <c r="D34" s="24">
        <v>71</v>
      </c>
      <c r="E34" s="24">
        <v>149</v>
      </c>
      <c r="F34" s="24">
        <v>0.32503653934250998</v>
      </c>
      <c r="G34" s="24">
        <v>579.33333333333337</v>
      </c>
      <c r="H34" s="24">
        <v>483.45070422535213</v>
      </c>
      <c r="I34" s="24">
        <v>95.882629107981245</v>
      </c>
      <c r="J34" s="24">
        <v>1860.7624304329711</v>
      </c>
      <c r="K34" s="24">
        <v>1654.923181546782</v>
      </c>
      <c r="L34" s="24">
        <v>-0.33288475854446581</v>
      </c>
      <c r="M34" s="24">
        <v>0.73969578830356453</v>
      </c>
      <c r="N34" s="24" t="s">
        <v>24</v>
      </c>
      <c r="O34" s="25">
        <f>MIN(J34,K34)</f>
        <v>1654.923181546782</v>
      </c>
      <c r="P34" s="29">
        <f>ROUNDUP((($B$40+$B$41) / ($B$37/O34))^2,0)</f>
        <v>2150</v>
      </c>
    </row>
    <row r="36" spans="1:16" ht="23.25" x14ac:dyDescent="0.35">
      <c r="A36" s="4" t="s">
        <v>34</v>
      </c>
    </row>
    <row r="37" spans="1:16" ht="23.25" x14ac:dyDescent="0.35">
      <c r="A37" s="5" t="s">
        <v>41</v>
      </c>
      <c r="B37" s="13">
        <v>100</v>
      </c>
    </row>
    <row r="38" spans="1:16" ht="23.25" x14ac:dyDescent="0.35">
      <c r="A38" s="5" t="s">
        <v>43</v>
      </c>
      <c r="B38" s="14">
        <v>0.05</v>
      </c>
    </row>
    <row r="39" spans="1:16" ht="23.25" x14ac:dyDescent="0.35">
      <c r="A39" s="5" t="s">
        <v>44</v>
      </c>
      <c r="B39" s="14">
        <v>0.8</v>
      </c>
    </row>
    <row r="40" spans="1:16" ht="23.25" x14ac:dyDescent="0.35">
      <c r="A40" s="5" t="s">
        <v>45</v>
      </c>
      <c r="B40" s="15">
        <f>_xlfn.NORM.INV(1 - B38/2, 0, 1)</f>
        <v>1.9599639845400536</v>
      </c>
    </row>
    <row r="41" spans="1:16" ht="23.25" x14ac:dyDescent="0.35">
      <c r="A41" s="5" t="s">
        <v>46</v>
      </c>
      <c r="B41" s="15">
        <f>_xlfn.NORM.INV(B39, 0, 1)</f>
        <v>0.84162123357291474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Положительные</vt:lpstr>
      <vt:lpstr>Отрицательные</vt:lpstr>
      <vt:lpstr>Нейтральные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2025-07-19T10:35:23Z</dcterms:created>
  <dcterms:modified xsi:type="dcterms:W3CDTF">2025-07-22T14:53:44Z</dcterms:modified>
</cp:coreProperties>
</file>